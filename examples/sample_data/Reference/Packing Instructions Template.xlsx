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ox Information" sheetId="2" state="visible" r:id="rId2"/>
    <sheet name="Product Labels" sheetId="3" state="visible" r:id="rId3"/>
    <sheet name="Packing List &amp; Invoice Info" sheetId="4" state="visible" r:id="rId4"/>
    <sheet name="Box Label Sample" sheetId="5" state="visible" r:id="rId5"/>
    <sheet name="Product Label Sample" sheetId="6" state="visible" r:id="rId6"/>
    <sheet name="Check before Sen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"/>
    <numFmt numFmtId="166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9"/>
    </font>
    <font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ops</author>
  </authors>
  <commentList>
    <comment ref="D12" authorId="0" shapeId="0">
      <text>
        <t>Internal: confirm qty with buyer</t>
      </text>
    </comment>
  </commentList>
</comment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3429000" cy="1714500"/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3429000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3429000" cy="1714500"/>
    <xdr:pic>
      <xdr:nvPicPr>
        <xdr:cNvPr id="3" name="Picture 2"/>
        <xdr:cNvPicPr/>
      </xdr:nvPicPr>
      <xdr:blipFill>
        <a:blip r:embed="rId1"/>
        <a:stretch>
          <a:fillRect/>
        </a:stretch>
      </xdr:blipFill>
      <xdr:spPr>
        <a:xfrm>
          <a:off x="0" y="0"/>
          <a:ext cx="3429000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GENERAL PACKING INSTRUCTIONS FOR VENDORS</t>
        </is>
      </c>
    </row>
    <row r="2">
      <c r="A2" t="inlineStr">
        <is>
          <t>1. Pack each bag with the exact PCS/BAG shown in Box Information.</t>
        </is>
      </c>
    </row>
    <row r="3">
      <c r="A3" t="inlineStr">
        <is>
          <t>2. Print and apply the product label (see 'Product Label Sample').</t>
        </is>
      </c>
    </row>
    <row r="4">
      <c r="A4" t="inlineStr">
        <is>
          <t>3. Label every carton (see 'Box Label Sample').</t>
        </is>
      </c>
    </row>
    <row r="5">
      <c r="A5" t="inlineStr">
        <is>
          <t>4. Fill in N.W(KGS) per carton; gross weight and volume calculate themselves.</t>
        </is>
      </c>
    </row>
    <row r="6">
      <c r="A6" t="inlineStr">
        <is>
          <t>5. Bags over 5in opening need a suffocation warning.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 INFORMATION</t>
        </is>
      </c>
    </row>
    <row r="2">
      <c r="A2" t="inlineStr">
        <is>
          <t>Fill in columns F, G and V only.</t>
        </is>
      </c>
    </row>
    <row r="3">
      <c r="A3" t="inlineStr">
        <is>
          <t>Do not mix SKUs in one carton.</t>
        </is>
      </c>
    </row>
    <row r="4">
      <c r="A4" t="inlineStr">
        <is>
          <t>Cartons must not exceed 22 kg.</t>
        </is>
      </c>
    </row>
    <row r="5">
      <c r="A5" t="inlineStr">
        <is>
          <t>Dimensions are outer carton size in millimeters.</t>
        </is>
      </c>
    </row>
    <row r="8" ht="32" customHeight="1">
      <c r="A8" s="2" t="inlineStr">
        <is>
          <t>ITEM SKU</t>
        </is>
      </c>
      <c r="B8" s="2" t="inlineStr">
        <is>
          <t>FBA SKU</t>
        </is>
      </c>
      <c r="C8" s="2" t="inlineStr">
        <is>
          <t>PRODUCT DESCRIPTION</t>
        </is>
      </c>
      <c r="D8" s="2" t="inlineStr">
        <is>
          <t>TOTAL PIECES</t>
        </is>
      </c>
      <c r="E8" s="2" t="inlineStr">
        <is>
          <t>Invoice Total per ITEM SKU</t>
        </is>
      </c>
      <c r="F8" s="2" t="inlineStr">
        <is>
          <t>Final total qty</t>
        </is>
      </c>
      <c r="G8" s="2" t="inlineStr">
        <is>
          <t>Balance</t>
        </is>
      </c>
      <c r="H8" s="2" t="inlineStr">
        <is>
          <t>PCS/BAG</t>
        </is>
      </c>
      <c r="I8" s="2" t="inlineStr">
        <is>
          <t>BAGS (BOXES)
/CASE</t>
        </is>
      </c>
      <c r="J8" s="2" t="inlineStr">
        <is>
          <t>PCS/CASE</t>
        </is>
      </c>
      <c r="K8" s="2" t="inlineStr">
        <is>
          <t># OF BAGS</t>
        </is>
      </c>
      <c r="L8" s="2" t="inlineStr">
        <is>
          <t># OF CASES</t>
        </is>
      </c>
      <c r="M8" s="2" t="inlineStr">
        <is>
          <t>Box #</t>
        </is>
      </c>
      <c r="N8" s="2" t="inlineStr">
        <is>
          <t>PO #</t>
        </is>
      </c>
      <c r="O8" s="2" t="inlineStr">
        <is>
          <t>L (Inch)</t>
        </is>
      </c>
      <c r="P8" s="2" t="inlineStr">
        <is>
          <t>W (Inch)</t>
        </is>
      </c>
      <c r="Q8" s="2" t="inlineStr">
        <is>
          <t>H (Inch)</t>
        </is>
      </c>
      <c r="R8" s="2" t="inlineStr">
        <is>
          <t>LENGTH (mm)</t>
        </is>
      </c>
      <c r="S8" s="2" t="inlineStr">
        <is>
          <t>WIDTH (mm)</t>
        </is>
      </c>
      <c r="T8" s="2" t="inlineStr">
        <is>
          <t>HEIGHT (mm)</t>
        </is>
      </c>
      <c r="U8" s="2" t="inlineStr">
        <is>
          <t>CBM</t>
        </is>
      </c>
      <c r="V8" s="2" t="inlineStr">
        <is>
          <t>N.W(KGS)</t>
        </is>
      </c>
      <c r="W8" s="2" t="inlineStr">
        <is>
          <t>G.W(KGS)</t>
        </is>
      </c>
      <c r="X8" s="2" t="inlineStr">
        <is>
          <t>MEAS(M3)</t>
        </is>
      </c>
      <c r="Y8" s="2" t="inlineStr">
        <is>
          <t>Additional Instructions</t>
        </is>
      </c>
    </row>
    <row r="9">
      <c r="A9" s="3" t="inlineStr">
        <is>
          <t>PC-8800</t>
        </is>
      </c>
      <c r="B9" s="3">
        <f>XLOOKUP(A9,[1]All!$H:$H,[1]All!$A:$A)</f>
        <v/>
      </c>
      <c r="C9" s="3">
        <f>XLOOKUP(B9,[1]All!$A:$A,[1]All!$C:$C)&amp;" - "&amp;XLOOKUP(B9,[1]All!$A:$A,[1]All!$D:$D)</f>
        <v/>
      </c>
      <c r="D9" s="4" t="n">
        <v>120</v>
      </c>
      <c r="E9" s="3" t="n"/>
      <c r="F9" s="3" t="n"/>
      <c r="G9" s="3" t="n"/>
      <c r="H9" s="3" t="n"/>
      <c r="I9" s="3" t="n"/>
      <c r="J9" s="4" t="n"/>
      <c r="K9" s="4" t="n"/>
      <c r="L9" s="5" t="n"/>
      <c r="M9" s="3" t="n"/>
      <c r="N9" s="3" t="n"/>
      <c r="O9" s="3" t="n"/>
      <c r="P9" s="3" t="n"/>
      <c r="Q9" s="3" t="n"/>
      <c r="R9" s="3" t="n"/>
      <c r="S9" s="3" t="n"/>
      <c r="T9" s="3" t="n"/>
      <c r="U9" s="6" t="n"/>
      <c r="V9" s="3" t="n"/>
      <c r="W9" s="3" t="n"/>
      <c r="X9" s="7" t="n"/>
      <c r="Y9" s="3" t="n"/>
    </row>
    <row r="10">
      <c r="A10" s="8" t="inlineStr">
        <is>
          <t>PC-8801</t>
        </is>
      </c>
      <c r="B10" s="8">
        <f>XLOOKUP(A10,[1]All!$H:$H,[1]All!$A:$A)</f>
        <v/>
      </c>
      <c r="C10" s="8">
        <f>XLOOKUP(B10,[1]All!$A:$A,[1]All!$C:$C)&amp;" - "&amp;XLOOKUP(B10,[1]All!$A:$A,[1]All!$D:$D)</f>
        <v/>
      </c>
      <c r="D10" s="9" t="n">
        <v>240</v>
      </c>
      <c r="E10" s="8" t="n"/>
      <c r="F10" s="8" t="n"/>
      <c r="G10" s="8" t="n"/>
      <c r="H10" s="8" t="n"/>
      <c r="I10" s="8" t="n"/>
      <c r="J10" s="9" t="n"/>
      <c r="K10" s="9" t="n"/>
      <c r="L10" s="10" t="n"/>
      <c r="M10" s="8" t="n"/>
      <c r="N10" s="8" t="n"/>
      <c r="O10" s="8" t="n"/>
      <c r="P10" s="8" t="n"/>
      <c r="Q10" s="8" t="n"/>
      <c r="R10" s="8" t="n"/>
      <c r="S10" s="8" t="n"/>
      <c r="T10" s="8" t="n"/>
      <c r="U10" s="11" t="n"/>
      <c r="V10" s="8" t="n"/>
      <c r="W10" s="8" t="n"/>
      <c r="X10" s="12" t="n"/>
      <c r="Y10" s="8" t="n"/>
    </row>
    <row r="11">
      <c r="A11" s="8" t="inlineStr">
        <is>
          <t>PC-8802</t>
        </is>
      </c>
      <c r="B11" s="8">
        <f>XLOOKUP(A11,[1]All!$H:$H,[1]All!$A:$A)</f>
        <v/>
      </c>
      <c r="C11" s="8">
        <f>XLOOKUP(B11,[1]All!$A:$A,[1]All!$C:$C)&amp;" - "&amp;XLOOKUP(B11,[1]All!$A:$A,[1]All!$D:$D)</f>
        <v/>
      </c>
      <c r="D11" s="9" t="n">
        <v>360</v>
      </c>
      <c r="E11" s="8" t="n"/>
      <c r="F11" s="8" t="n"/>
      <c r="G11" s="8" t="n"/>
      <c r="H11" s="8" t="n"/>
      <c r="I11" s="8" t="n"/>
      <c r="J11" s="9" t="n"/>
      <c r="K11" s="9" t="n"/>
      <c r="L11" s="10" t="n"/>
      <c r="M11" s="8" t="n"/>
      <c r="N11" s="8" t="n"/>
      <c r="O11" s="8" t="n"/>
      <c r="P11" s="8" t="n"/>
      <c r="Q11" s="8" t="n"/>
      <c r="R11" s="8" t="n"/>
      <c r="S11" s="8" t="n"/>
      <c r="T11" s="8" t="n"/>
      <c r="U11" s="11" t="n"/>
      <c r="V11" s="8" t="n"/>
      <c r="W11" s="8" t="n"/>
      <c r="X11" s="12" t="n"/>
      <c r="Y11" s="8" t="n"/>
    </row>
    <row r="12">
      <c r="A12" s="8" t="inlineStr">
        <is>
          <t>PC-8803</t>
        </is>
      </c>
      <c r="B12" s="8">
        <f>XLOOKUP(A12,[1]All!$H:$H,[1]All!$A:$A)</f>
        <v/>
      </c>
      <c r="C12" s="8">
        <f>XLOOKUP(B12,[1]All!$A:$A,[1]All!$C:$C)&amp;" - "&amp;XLOOKUP(B12,[1]All!$A:$A,[1]All!$D:$D)</f>
        <v/>
      </c>
      <c r="D12" s="9" t="n">
        <v>480</v>
      </c>
      <c r="E12" s="8" t="n"/>
      <c r="F12" s="8" t="n"/>
      <c r="G12" s="8" t="n"/>
      <c r="H12" s="8" t="n"/>
      <c r="I12" s="8" t="n"/>
      <c r="J12" s="9" t="n"/>
      <c r="K12" s="9" t="n"/>
      <c r="L12" s="10" t="n"/>
      <c r="M12" s="8" t="n"/>
      <c r="N12" s="8" t="n"/>
      <c r="O12" s="8" t="n"/>
      <c r="P12" s="8" t="n"/>
      <c r="Q12" s="8" t="n"/>
      <c r="R12" s="8" t="n"/>
      <c r="S12" s="8" t="n"/>
      <c r="T12" s="8" t="n"/>
      <c r="U12" s="11" t="n"/>
      <c r="V12" s="8" t="n"/>
      <c r="W12" s="8" t="n"/>
      <c r="X12" s="12" t="n"/>
      <c r="Y12" s="8" t="n"/>
    </row>
    <row r="13">
      <c r="A13" s="8" t="inlineStr">
        <is>
          <t>PC-8804</t>
        </is>
      </c>
      <c r="B13" s="8">
        <f>XLOOKUP(A13,[1]All!$H:$H,[1]All!$A:$A)</f>
        <v/>
      </c>
      <c r="C13" s="8">
        <f>XLOOKUP(B13,[1]All!$A:$A,[1]All!$C:$C)&amp;" - "&amp;XLOOKUP(B13,[1]All!$A:$A,[1]All!$D:$D)</f>
        <v/>
      </c>
      <c r="D13" s="9" t="n">
        <v>600</v>
      </c>
      <c r="E13" s="8" t="n"/>
      <c r="F13" s="8" t="n"/>
      <c r="G13" s="8" t="n"/>
      <c r="H13" s="8" t="n"/>
      <c r="I13" s="8" t="n"/>
      <c r="J13" s="9" t="n"/>
      <c r="K13" s="9" t="n"/>
      <c r="L13" s="10" t="n"/>
      <c r="M13" s="8" t="n"/>
      <c r="N13" s="8" t="n"/>
      <c r="O13" s="8" t="n"/>
      <c r="P13" s="8" t="n"/>
      <c r="Q13" s="8" t="n"/>
      <c r="R13" s="8" t="n"/>
      <c r="S13" s="8" t="n"/>
      <c r="T13" s="8" t="n"/>
      <c r="U13" s="11" t="n"/>
      <c r="V13" s="8" t="n"/>
      <c r="W13" s="8" t="n"/>
      <c r="X13" s="12" t="n"/>
      <c r="Y13" s="8" t="n"/>
    </row>
    <row r="14">
      <c r="A14" s="8" t="inlineStr">
        <is>
          <t>PC-8805</t>
        </is>
      </c>
      <c r="B14" s="8">
        <f>XLOOKUP(A14,[1]All!$H:$H,[1]All!$A:$A)</f>
        <v/>
      </c>
      <c r="C14" s="8">
        <f>XLOOKUP(B14,[1]All!$A:$A,[1]All!$C:$C)&amp;" - "&amp;XLOOKUP(B14,[1]All!$A:$A,[1]All!$D:$D)</f>
        <v/>
      </c>
      <c r="D14" s="9" t="n">
        <v>720</v>
      </c>
      <c r="E14" s="8" t="n"/>
      <c r="F14" s="8" t="n"/>
      <c r="G14" s="8" t="n"/>
      <c r="H14" s="8" t="n"/>
      <c r="I14" s="8" t="n"/>
      <c r="J14" s="9" t="n"/>
      <c r="K14" s="9" t="n"/>
      <c r="L14" s="10" t="n"/>
      <c r="M14" s="8" t="n"/>
      <c r="N14" s="8" t="n"/>
      <c r="O14" s="8" t="n"/>
      <c r="P14" s="8" t="n"/>
      <c r="Q14" s="8" t="n"/>
      <c r="R14" s="8" t="n"/>
      <c r="S14" s="8" t="n"/>
      <c r="T14" s="8" t="n"/>
      <c r="U14" s="11" t="n"/>
      <c r="V14" s="8" t="n"/>
      <c r="W14" s="8" t="n"/>
      <c r="X14" s="12" t="n"/>
      <c r="Y14" s="8" t="n"/>
    </row>
    <row r="15">
      <c r="A15" s="8" t="inlineStr">
        <is>
          <t>PC-8806</t>
        </is>
      </c>
      <c r="B15" s="8">
        <f>XLOOKUP(A15,[1]All!$H:$H,[1]All!$A:$A)</f>
        <v/>
      </c>
      <c r="C15" s="8">
        <f>XLOOKUP(B15,[1]All!$A:$A,[1]All!$C:$C)&amp;" - "&amp;XLOOKUP(B15,[1]All!$A:$A,[1]All!$D:$D)</f>
        <v/>
      </c>
      <c r="D15" s="9" t="n">
        <v>840</v>
      </c>
      <c r="E15" s="8" t="n"/>
      <c r="F15" s="8" t="n"/>
      <c r="G15" s="8" t="n"/>
      <c r="H15" s="8" t="n"/>
      <c r="I15" s="8" t="n"/>
      <c r="J15" s="9" t="n"/>
      <c r="K15" s="9" t="n"/>
      <c r="L15" s="10" t="n"/>
      <c r="M15" s="8" t="n"/>
      <c r="N15" s="8" t="n"/>
      <c r="O15" s="8" t="n"/>
      <c r="P15" s="8" t="n"/>
      <c r="Q15" s="8" t="n"/>
      <c r="R15" s="8" t="n"/>
      <c r="S15" s="8" t="n"/>
      <c r="T15" s="8" t="n"/>
      <c r="U15" s="11" t="n"/>
      <c r="V15" s="8" t="n"/>
      <c r="W15" s="8" t="n"/>
      <c r="X15" s="12" t="n"/>
      <c r="Y15" s="8" t="n"/>
    </row>
    <row r="16">
      <c r="A16" s="8" t="inlineStr">
        <is>
          <t>PC-8807</t>
        </is>
      </c>
      <c r="B16" s="8">
        <f>XLOOKUP(A16,[1]All!$H:$H,[1]All!$A:$A)</f>
        <v/>
      </c>
      <c r="C16" s="8">
        <f>XLOOKUP(B16,[1]All!$A:$A,[1]All!$C:$C)&amp;" - "&amp;XLOOKUP(B16,[1]All!$A:$A,[1]All!$D:$D)</f>
        <v/>
      </c>
      <c r="D16" s="9" t="n">
        <v>960</v>
      </c>
      <c r="E16" s="8" t="n"/>
      <c r="F16" s="8" t="n"/>
      <c r="G16" s="8" t="n"/>
      <c r="H16" s="8" t="n"/>
      <c r="I16" s="8" t="n"/>
      <c r="J16" s="9" t="n"/>
      <c r="K16" s="9" t="n"/>
      <c r="L16" s="10" t="n"/>
      <c r="M16" s="8" t="n"/>
      <c r="N16" s="8" t="n"/>
      <c r="O16" s="8" t="n"/>
      <c r="P16" s="8" t="n"/>
      <c r="Q16" s="8" t="n"/>
      <c r="R16" s="8" t="n"/>
      <c r="S16" s="8" t="n"/>
      <c r="T16" s="8" t="n"/>
      <c r="U16" s="11" t="n"/>
      <c r="V16" s="8" t="n"/>
      <c r="W16" s="8" t="n"/>
      <c r="X16" s="12" t="n"/>
      <c r="Y16" s="8" t="n"/>
    </row>
    <row r="17">
      <c r="A17" s="8" t="inlineStr">
        <is>
          <t>PC-8808</t>
        </is>
      </c>
      <c r="B17" s="8">
        <f>XLOOKUP(A17,[1]All!$H:$H,[1]All!$A:$A)</f>
        <v/>
      </c>
      <c r="C17" s="8">
        <f>XLOOKUP(B17,[1]All!$A:$A,[1]All!$C:$C)&amp;" - "&amp;XLOOKUP(B17,[1]All!$A:$A,[1]All!$D:$D)</f>
        <v/>
      </c>
      <c r="D17" s="9" t="n">
        <v>1080</v>
      </c>
      <c r="E17" s="8" t="n"/>
      <c r="F17" s="8" t="n"/>
      <c r="G17" s="8" t="n"/>
      <c r="H17" s="8" t="n"/>
      <c r="I17" s="8" t="n"/>
      <c r="J17" s="9" t="n"/>
      <c r="K17" s="9" t="n"/>
      <c r="L17" s="10" t="n"/>
      <c r="M17" s="8" t="n"/>
      <c r="N17" s="8" t="n"/>
      <c r="O17" s="8" t="n"/>
      <c r="P17" s="8" t="n"/>
      <c r="Q17" s="8" t="n"/>
      <c r="R17" s="8" t="n"/>
      <c r="S17" s="8" t="n"/>
      <c r="T17" s="8" t="n"/>
      <c r="U17" s="11" t="n"/>
      <c r="V17" s="8" t="n"/>
      <c r="W17" s="8" t="n"/>
      <c r="X17" s="12" t="n"/>
      <c r="Y17" s="8" t="n"/>
    </row>
    <row r="18">
      <c r="A18" s="8" t="inlineStr">
        <is>
          <t>PC-8809</t>
        </is>
      </c>
      <c r="B18" s="8">
        <f>XLOOKUP(A18,[1]All!$H:$H,[1]All!$A:$A)</f>
        <v/>
      </c>
      <c r="C18" s="8">
        <f>XLOOKUP(B18,[1]All!$A:$A,[1]All!$C:$C)&amp;" - "&amp;XLOOKUP(B18,[1]All!$A:$A,[1]All!$D:$D)</f>
        <v/>
      </c>
      <c r="D18" s="9" t="n">
        <v>1200</v>
      </c>
      <c r="E18" s="8" t="n"/>
      <c r="F18" s="8" t="n"/>
      <c r="G18" s="8" t="n"/>
      <c r="H18" s="8" t="n"/>
      <c r="I18" s="8" t="n"/>
      <c r="J18" s="9" t="n"/>
      <c r="K18" s="9" t="n"/>
      <c r="L18" s="10" t="n"/>
      <c r="M18" s="8" t="n"/>
      <c r="N18" s="8" t="n"/>
      <c r="O18" s="8" t="n"/>
      <c r="P18" s="8" t="n"/>
      <c r="Q18" s="8" t="n"/>
      <c r="R18" s="8" t="n"/>
      <c r="S18" s="8" t="n"/>
      <c r="T18" s="8" t="n"/>
      <c r="U18" s="11" t="n"/>
      <c r="V18" s="8" t="n"/>
      <c r="W18" s="8" t="n"/>
      <c r="X18" s="12" t="n"/>
      <c r="Y18" s="8" t="n"/>
    </row>
    <row r="19">
      <c r="A19" s="8" t="inlineStr">
        <is>
          <t>PC-8810</t>
        </is>
      </c>
      <c r="B19" s="8">
        <f>XLOOKUP(A19,[1]All!$H:$H,[1]All!$A:$A)</f>
        <v/>
      </c>
      <c r="C19" s="8">
        <f>XLOOKUP(B19,[1]All!$A:$A,[1]All!$C:$C)&amp;" - "&amp;XLOOKUP(B19,[1]All!$A:$A,[1]All!$D:$D)</f>
        <v/>
      </c>
      <c r="D19" s="9" t="n">
        <v>1320</v>
      </c>
      <c r="E19" s="8" t="n"/>
      <c r="F19" s="8" t="n"/>
      <c r="G19" s="8" t="n"/>
      <c r="H19" s="8" t="n"/>
      <c r="I19" s="8" t="n"/>
      <c r="J19" s="9" t="n"/>
      <c r="K19" s="9" t="n"/>
      <c r="L19" s="10" t="n"/>
      <c r="M19" s="8" t="n"/>
      <c r="N19" s="8" t="n"/>
      <c r="O19" s="8" t="n"/>
      <c r="P19" s="8" t="n"/>
      <c r="Q19" s="8" t="n"/>
      <c r="R19" s="8" t="n"/>
      <c r="S19" s="8" t="n"/>
      <c r="T19" s="8" t="n"/>
      <c r="U19" s="11" t="n"/>
      <c r="V19" s="8" t="n"/>
      <c r="W19" s="8" t="n"/>
      <c r="X19" s="12" t="n"/>
      <c r="Y19" s="8" t="n"/>
    </row>
    <row r="20">
      <c r="A20" s="8" t="inlineStr">
        <is>
          <t>PC-8811</t>
        </is>
      </c>
      <c r="B20" s="8">
        <f>XLOOKUP(A20,[1]All!$H:$H,[1]All!$A:$A)</f>
        <v/>
      </c>
      <c r="C20" s="8">
        <f>XLOOKUP(B20,[1]All!$A:$A,[1]All!$C:$C)&amp;" - "&amp;XLOOKUP(B20,[1]All!$A:$A,[1]All!$D:$D)</f>
        <v/>
      </c>
      <c r="D20" s="9" t="n">
        <v>1440</v>
      </c>
      <c r="E20" s="8" t="n"/>
      <c r="F20" s="8" t="n"/>
      <c r="G20" s="8" t="n"/>
      <c r="H20" s="8" t="n"/>
      <c r="I20" s="8" t="n"/>
      <c r="J20" s="9" t="n"/>
      <c r="K20" s="9" t="n"/>
      <c r="L20" s="10" t="n"/>
      <c r="M20" s="8" t="n"/>
      <c r="N20" s="8" t="n"/>
      <c r="O20" s="8" t="n"/>
      <c r="P20" s="8" t="n"/>
      <c r="Q20" s="8" t="n"/>
      <c r="R20" s="8" t="n"/>
      <c r="S20" s="8" t="n"/>
      <c r="T20" s="8" t="n"/>
      <c r="U20" s="11" t="n"/>
      <c r="V20" s="8" t="n"/>
      <c r="W20" s="8" t="n"/>
      <c r="X20" s="12" t="n"/>
      <c r="Y20" s="8" t="n"/>
    </row>
    <row r="21">
      <c r="A21" s="8" t="inlineStr">
        <is>
          <t>PC-8812</t>
        </is>
      </c>
      <c r="B21" s="8">
        <f>XLOOKUP(A21,[1]All!$H:$H,[1]All!$A:$A)</f>
        <v/>
      </c>
      <c r="C21" s="8">
        <f>XLOOKUP(B21,[1]All!$A:$A,[1]All!$C:$C)&amp;" - "&amp;XLOOKUP(B21,[1]All!$A:$A,[1]All!$D:$D)</f>
        <v/>
      </c>
      <c r="D21" s="9" t="n">
        <v>1560</v>
      </c>
      <c r="E21" s="8" t="n"/>
      <c r="F21" s="8" t="n"/>
      <c r="G21" s="8" t="n"/>
      <c r="H21" s="8" t="n"/>
      <c r="I21" s="8" t="n"/>
      <c r="J21" s="9" t="n"/>
      <c r="K21" s="9" t="n"/>
      <c r="L21" s="10" t="n"/>
      <c r="M21" s="8" t="n"/>
      <c r="N21" s="8" t="n"/>
      <c r="O21" s="8" t="n"/>
      <c r="P21" s="8" t="n"/>
      <c r="Q21" s="8" t="n"/>
      <c r="R21" s="8" t="n"/>
      <c r="S21" s="8" t="n"/>
      <c r="T21" s="8" t="n"/>
      <c r="U21" s="11" t="n"/>
      <c r="V21" s="8" t="n"/>
      <c r="W21" s="8" t="n"/>
      <c r="X21" s="12" t="n"/>
      <c r="Y21" s="8" t="n"/>
    </row>
    <row r="22">
      <c r="A22" s="8" t="inlineStr">
        <is>
          <t>PC-8813</t>
        </is>
      </c>
      <c r="B22" s="8">
        <f>XLOOKUP(A22,[1]All!$H:$H,[1]All!$A:$A)</f>
        <v/>
      </c>
      <c r="C22" s="8">
        <f>XLOOKUP(B22,[1]All!$A:$A,[1]All!$C:$C)&amp;" - "&amp;XLOOKUP(B22,[1]All!$A:$A,[1]All!$D:$D)</f>
        <v/>
      </c>
      <c r="D22" s="9" t="n">
        <v>1680</v>
      </c>
      <c r="E22" s="8" t="n"/>
      <c r="F22" s="8" t="n"/>
      <c r="G22" s="8" t="n"/>
      <c r="H22" s="8" t="n"/>
      <c r="I22" s="8" t="n"/>
      <c r="J22" s="9" t="n"/>
      <c r="K22" s="9" t="n"/>
      <c r="L22" s="10" t="n"/>
      <c r="M22" s="8" t="n"/>
      <c r="N22" s="8" t="n"/>
      <c r="O22" s="8" t="n"/>
      <c r="P22" s="8" t="n"/>
      <c r="Q22" s="8" t="n"/>
      <c r="R22" s="8" t="n"/>
      <c r="S22" s="8" t="n"/>
      <c r="T22" s="8" t="n"/>
      <c r="U22" s="11" t="n"/>
      <c r="V22" s="8" t="n"/>
      <c r="W22" s="8" t="n"/>
      <c r="X22" s="12" t="n"/>
      <c r="Y22" s="8" t="n"/>
    </row>
    <row r="23">
      <c r="A23" s="8" t="n"/>
      <c r="B23" s="8" t="n"/>
      <c r="C23" s="8" t="n"/>
      <c r="D23" s="9" t="n"/>
      <c r="E23" s="8" t="n"/>
      <c r="F23" s="8" t="n"/>
      <c r="G23" s="8" t="n"/>
      <c r="H23" s="8" t="n"/>
      <c r="I23" s="8" t="n"/>
      <c r="J23" s="9" t="n"/>
      <c r="K23" s="9" t="n"/>
      <c r="L23" s="10" t="n"/>
      <c r="M23" s="8" t="n"/>
      <c r="N23" s="8" t="n"/>
      <c r="O23" s="8" t="n"/>
      <c r="P23" s="8" t="n"/>
      <c r="Q23" s="8" t="n"/>
      <c r="R23" s="8" t="n"/>
      <c r="S23" s="8" t="n"/>
      <c r="T23" s="8" t="n"/>
      <c r="U23" s="11" t="n"/>
      <c r="V23" s="8" t="n"/>
      <c r="W23" s="8" t="n"/>
      <c r="X23" s="12" t="n"/>
      <c r="Y23" s="8" t="n"/>
    </row>
    <row r="24">
      <c r="A24" s="8" t="n"/>
      <c r="B24" s="8" t="n"/>
      <c r="C24" s="8" t="n"/>
      <c r="D24" s="9" t="n"/>
      <c r="E24" s="8" t="n"/>
      <c r="F24" s="8" t="n"/>
      <c r="G24" s="8" t="n"/>
      <c r="H24" s="8" t="n"/>
      <c r="I24" s="8" t="n"/>
      <c r="J24" s="9" t="n"/>
      <c r="K24" s="9" t="n"/>
      <c r="L24" s="10" t="n"/>
      <c r="M24" s="8" t="n"/>
      <c r="N24" s="8" t="n"/>
      <c r="O24" s="8" t="n"/>
      <c r="P24" s="8" t="n"/>
      <c r="Q24" s="8" t="n"/>
      <c r="R24" s="8" t="n"/>
      <c r="S24" s="8" t="n"/>
      <c r="T24" s="8" t="n"/>
      <c r="U24" s="11" t="n"/>
      <c r="V24" s="8" t="n"/>
      <c r="W24" s="8" t="n"/>
      <c r="X24" s="12" t="n"/>
      <c r="Y24" s="8" t="n"/>
    </row>
    <row r="25">
      <c r="A25" s="8" t="n"/>
      <c r="B25" s="8" t="n"/>
      <c r="C25" s="8" t="n"/>
      <c r="D25" s="9" t="n"/>
      <c r="E25" s="8" t="n"/>
      <c r="F25" s="8" t="n"/>
      <c r="G25" s="8" t="n"/>
      <c r="H25" s="8" t="n"/>
      <c r="I25" s="8" t="n"/>
      <c r="J25" s="9" t="n"/>
      <c r="K25" s="9" t="n"/>
      <c r="L25" s="10" t="n"/>
      <c r="M25" s="8" t="n"/>
      <c r="N25" s="8" t="n"/>
      <c r="O25" s="8" t="n"/>
      <c r="P25" s="8" t="n"/>
      <c r="Q25" s="8" t="n"/>
      <c r="R25" s="8" t="n"/>
      <c r="S25" s="8" t="n"/>
      <c r="T25" s="8" t="n"/>
      <c r="U25" s="11" t="n"/>
      <c r="V25" s="8" t="n"/>
      <c r="W25" s="8" t="n"/>
      <c r="X25" s="12" t="n"/>
      <c r="Y25" s="8" t="n"/>
    </row>
    <row r="26">
      <c r="A26" s="8" t="n"/>
      <c r="B26" s="8" t="n"/>
      <c r="C26" s="8" t="n"/>
      <c r="D26" s="9" t="n"/>
      <c r="E26" s="8" t="n"/>
      <c r="F26" s="8" t="n"/>
      <c r="G26" s="8" t="n"/>
      <c r="H26" s="8" t="n"/>
      <c r="I26" s="8" t="n"/>
      <c r="J26" s="9" t="n"/>
      <c r="K26" s="9" t="n"/>
      <c r="L26" s="10" t="n"/>
      <c r="M26" s="8" t="n"/>
      <c r="N26" s="8" t="n"/>
      <c r="O26" s="8" t="n"/>
      <c r="P26" s="8" t="n"/>
      <c r="Q26" s="8" t="n"/>
      <c r="R26" s="8" t="n"/>
      <c r="S26" s="8" t="n"/>
      <c r="T26" s="8" t="n"/>
      <c r="U26" s="11" t="n"/>
      <c r="V26" s="8" t="n"/>
      <c r="W26" s="8" t="n"/>
      <c r="X26" s="12" t="n"/>
      <c r="Y26" s="8" t="n"/>
    </row>
    <row r="27">
      <c r="A27" s="8" t="n"/>
      <c r="B27" s="8" t="n"/>
      <c r="C27" s="8" t="n"/>
      <c r="D27" s="9" t="n"/>
      <c r="E27" s="8" t="n"/>
      <c r="F27" s="8" t="n"/>
      <c r="G27" s="8" t="n"/>
      <c r="H27" s="8" t="n"/>
      <c r="I27" s="8" t="n"/>
      <c r="J27" s="9" t="n"/>
      <c r="K27" s="9" t="n"/>
      <c r="L27" s="10" t="n"/>
      <c r="M27" s="8" t="n"/>
      <c r="N27" s="8" t="n"/>
      <c r="O27" s="8" t="n"/>
      <c r="P27" s="8" t="n"/>
      <c r="Q27" s="8" t="n"/>
      <c r="R27" s="8" t="n"/>
      <c r="S27" s="8" t="n"/>
      <c r="T27" s="8" t="n"/>
      <c r="U27" s="11" t="n"/>
      <c r="V27" s="8" t="n"/>
      <c r="W27" s="8" t="n"/>
      <c r="X27" s="12" t="n"/>
      <c r="Y27" s="8" t="n"/>
    </row>
    <row r="28">
      <c r="A28" s="8" t="n"/>
      <c r="B28" s="8" t="n"/>
      <c r="C28" s="8" t="n"/>
      <c r="D28" s="9" t="n"/>
      <c r="E28" s="8" t="n"/>
      <c r="F28" s="8" t="n"/>
      <c r="G28" s="8" t="n"/>
      <c r="H28" s="8" t="n"/>
      <c r="I28" s="8" t="n"/>
      <c r="J28" s="9" t="n"/>
      <c r="K28" s="9" t="n"/>
      <c r="L28" s="10" t="n"/>
      <c r="M28" s="8" t="n"/>
      <c r="N28" s="8" t="n"/>
      <c r="O28" s="8" t="n"/>
      <c r="P28" s="8" t="n"/>
      <c r="Q28" s="8" t="n"/>
      <c r="R28" s="8" t="n"/>
      <c r="S28" s="8" t="n"/>
      <c r="T28" s="8" t="n"/>
      <c r="U28" s="11" t="n"/>
      <c r="V28" s="8" t="n"/>
      <c r="W28" s="8" t="n"/>
      <c r="X28" s="12" t="n"/>
      <c r="Y28" s="8" t="n"/>
    </row>
    <row r="29">
      <c r="A29" s="8" t="n"/>
      <c r="B29" s="8" t="n"/>
      <c r="C29" s="8" t="n"/>
      <c r="D29" s="9" t="n"/>
      <c r="E29" s="8" t="n"/>
      <c r="F29" s="8" t="n"/>
      <c r="G29" s="8" t="n"/>
      <c r="H29" s="8" t="n"/>
      <c r="I29" s="8" t="n"/>
      <c r="J29" s="9" t="n"/>
      <c r="K29" s="9" t="n"/>
      <c r="L29" s="10" t="n"/>
      <c r="M29" s="8" t="n"/>
      <c r="N29" s="8" t="n"/>
      <c r="O29" s="8" t="n"/>
      <c r="P29" s="8" t="n"/>
      <c r="Q29" s="8" t="n"/>
      <c r="R29" s="8" t="n"/>
      <c r="S29" s="8" t="n"/>
      <c r="T29" s="8" t="n"/>
      <c r="U29" s="11" t="n"/>
      <c r="V29" s="8" t="n"/>
      <c r="W29" s="8" t="n"/>
      <c r="X29" s="12" t="n"/>
      <c r="Y29" s="8" t="n"/>
    </row>
    <row r="30">
      <c r="A30" s="8" t="n"/>
      <c r="B30" s="8" t="n"/>
      <c r="C30" s="8" t="n"/>
      <c r="D30" s="9" t="n"/>
      <c r="E30" s="8" t="n"/>
      <c r="F30" s="8" t="n"/>
      <c r="G30" s="8" t="n"/>
      <c r="H30" s="8" t="n"/>
      <c r="I30" s="8" t="n"/>
      <c r="J30" s="9" t="n"/>
      <c r="K30" s="9" t="n"/>
      <c r="L30" s="10" t="n"/>
      <c r="M30" s="8" t="n"/>
      <c r="N30" s="8" t="n"/>
      <c r="O30" s="8" t="n"/>
      <c r="P30" s="8" t="n"/>
      <c r="Q30" s="8" t="n"/>
      <c r="R30" s="8" t="n"/>
      <c r="S30" s="8" t="n"/>
      <c r="T30" s="8" t="n"/>
      <c r="U30" s="11" t="n"/>
      <c r="V30" s="8" t="n"/>
      <c r="W30" s="8" t="n"/>
      <c r="X30" s="12" t="n"/>
      <c r="Y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8" t="n"/>
      <c r="I31" s="8" t="n"/>
      <c r="J31" s="9" t="n"/>
      <c r="K31" s="9" t="n"/>
      <c r="L31" s="10" t="n"/>
      <c r="M31" s="8" t="n"/>
      <c r="N31" s="8" t="n"/>
      <c r="O31" s="8" t="n"/>
      <c r="P31" s="8" t="n"/>
      <c r="Q31" s="8" t="n"/>
      <c r="R31" s="8" t="n"/>
      <c r="S31" s="8" t="n"/>
      <c r="T31" s="8" t="n"/>
      <c r="U31" s="11" t="n"/>
      <c r="V31" s="8" t="n"/>
      <c r="W31" s="8" t="n"/>
      <c r="X31" s="12" t="n"/>
      <c r="Y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8" t="n"/>
      <c r="I32" s="8" t="n"/>
      <c r="J32" s="9" t="n"/>
      <c r="K32" s="9" t="n"/>
      <c r="L32" s="10" t="n"/>
      <c r="M32" s="8" t="n"/>
      <c r="N32" s="8" t="n"/>
      <c r="O32" s="8" t="n"/>
      <c r="P32" s="8" t="n"/>
      <c r="Q32" s="8" t="n"/>
      <c r="R32" s="8" t="n"/>
      <c r="S32" s="8" t="n"/>
      <c r="T32" s="8" t="n"/>
      <c r="U32" s="11" t="n"/>
      <c r="V32" s="8" t="n"/>
      <c r="W32" s="8" t="n"/>
      <c r="X32" s="12" t="n"/>
      <c r="Y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8" t="n"/>
      <c r="I33" s="8" t="n"/>
      <c r="J33" s="9" t="n"/>
      <c r="K33" s="9" t="n"/>
      <c r="L33" s="10" t="n"/>
      <c r="M33" s="8" t="n"/>
      <c r="N33" s="8" t="n"/>
      <c r="O33" s="8" t="n"/>
      <c r="P33" s="8" t="n"/>
      <c r="Q33" s="8" t="n"/>
      <c r="R33" s="8" t="n"/>
      <c r="S33" s="8" t="n"/>
      <c r="T33" s="8" t="n"/>
      <c r="U33" s="11" t="n"/>
      <c r="V33" s="8" t="n"/>
      <c r="W33" s="8" t="n"/>
      <c r="X33" s="12" t="n"/>
      <c r="Y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8" t="n"/>
      <c r="I34" s="8" t="n"/>
      <c r="J34" s="9" t="n"/>
      <c r="K34" s="9" t="n"/>
      <c r="L34" s="10" t="n"/>
      <c r="M34" s="8" t="n"/>
      <c r="N34" s="8" t="n"/>
      <c r="O34" s="8" t="n"/>
      <c r="P34" s="8" t="n"/>
      <c r="Q34" s="8" t="n"/>
      <c r="R34" s="8" t="n"/>
      <c r="S34" s="8" t="n"/>
      <c r="T34" s="8" t="n"/>
      <c r="U34" s="11" t="n"/>
      <c r="V34" s="8" t="n"/>
      <c r="W34" s="8" t="n"/>
      <c r="X34" s="12" t="n"/>
      <c r="Y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8" t="n"/>
      <c r="I35" s="8" t="n"/>
      <c r="J35" s="9" t="n"/>
      <c r="K35" s="9" t="n"/>
      <c r="L35" s="10" t="n"/>
      <c r="M35" s="8" t="n"/>
      <c r="N35" s="8" t="n"/>
      <c r="O35" s="8" t="n"/>
      <c r="P35" s="8" t="n"/>
      <c r="Q35" s="8" t="n"/>
      <c r="R35" s="8" t="n"/>
      <c r="S35" s="8" t="n"/>
      <c r="T35" s="8" t="n"/>
      <c r="U35" s="11" t="n"/>
      <c r="V35" s="8" t="n"/>
      <c r="W35" s="8" t="n"/>
      <c r="X35" s="12" t="n"/>
      <c r="Y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8" t="n"/>
      <c r="I36" s="8" t="n"/>
      <c r="J36" s="9" t="n"/>
      <c r="K36" s="9" t="n"/>
      <c r="L36" s="10" t="n"/>
      <c r="M36" s="8" t="n"/>
      <c r="N36" s="8" t="n"/>
      <c r="O36" s="8" t="n"/>
      <c r="P36" s="8" t="n"/>
      <c r="Q36" s="8" t="n"/>
      <c r="R36" s="8" t="n"/>
      <c r="S36" s="8" t="n"/>
      <c r="T36" s="8" t="n"/>
      <c r="U36" s="11" t="n"/>
      <c r="V36" s="8" t="n"/>
      <c r="W36" s="8" t="n"/>
      <c r="X36" s="12" t="n"/>
      <c r="Y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8" t="n"/>
      <c r="I37" s="8" t="n"/>
      <c r="J37" s="9" t="n"/>
      <c r="K37" s="9" t="n"/>
      <c r="L37" s="10" t="n"/>
      <c r="M37" s="8" t="n"/>
      <c r="N37" s="8" t="n"/>
      <c r="O37" s="8" t="n"/>
      <c r="P37" s="8" t="n"/>
      <c r="Q37" s="8" t="n"/>
      <c r="R37" s="8" t="n"/>
      <c r="S37" s="8" t="n"/>
      <c r="T37" s="8" t="n"/>
      <c r="U37" s="11" t="n"/>
      <c r="V37" s="8" t="n"/>
      <c r="W37" s="8" t="n"/>
      <c r="X37" s="12" t="n"/>
      <c r="Y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8" t="n"/>
      <c r="I38" s="8" t="n"/>
      <c r="J38" s="9" t="n"/>
      <c r="K38" s="9" t="n"/>
      <c r="L38" s="10" t="n"/>
      <c r="M38" s="8" t="n"/>
      <c r="N38" s="8" t="n"/>
      <c r="O38" s="8" t="n"/>
      <c r="P38" s="8" t="n"/>
      <c r="Q38" s="8" t="n"/>
      <c r="R38" s="8" t="n"/>
      <c r="S38" s="8" t="n"/>
      <c r="T38" s="8" t="n"/>
      <c r="U38" s="11" t="n"/>
      <c r="V38" s="8" t="n"/>
      <c r="W38" s="8" t="n"/>
      <c r="X38" s="12" t="n"/>
      <c r="Y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8" t="n"/>
      <c r="I39" s="8" t="n"/>
      <c r="J39" s="9" t="n"/>
      <c r="K39" s="9" t="n"/>
      <c r="L39" s="10" t="n"/>
      <c r="M39" s="8" t="n"/>
      <c r="N39" s="8" t="n"/>
      <c r="O39" s="8" t="n"/>
      <c r="P39" s="8" t="n"/>
      <c r="Q39" s="8" t="n"/>
      <c r="R39" s="8" t="n"/>
      <c r="S39" s="8" t="n"/>
      <c r="T39" s="8" t="n"/>
      <c r="U39" s="11" t="n"/>
      <c r="V39" s="8" t="n"/>
      <c r="W39" s="8" t="n"/>
      <c r="X39" s="12" t="n"/>
      <c r="Y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8" t="n"/>
      <c r="I40" s="8" t="n"/>
      <c r="J40" s="9" t="n"/>
      <c r="K40" s="9" t="n"/>
      <c r="L40" s="10" t="n"/>
      <c r="M40" s="8" t="n"/>
      <c r="N40" s="8" t="n"/>
      <c r="O40" s="8" t="n"/>
      <c r="P40" s="8" t="n"/>
      <c r="Q40" s="8" t="n"/>
      <c r="R40" s="8" t="n"/>
      <c r="S40" s="8" t="n"/>
      <c r="T40" s="8" t="n"/>
      <c r="U40" s="11" t="n"/>
      <c r="V40" s="8" t="n"/>
      <c r="W40" s="8" t="n"/>
      <c r="X40" s="12" t="n"/>
      <c r="Y40" s="8" t="n"/>
    </row>
    <row r="41">
      <c r="A41" s="8" t="n"/>
      <c r="B41" s="8" t="n"/>
      <c r="C41" s="8" t="n"/>
      <c r="D41" s="9" t="n"/>
      <c r="E41" s="8" t="n"/>
      <c r="F41" s="8" t="n"/>
      <c r="G41" s="8" t="n"/>
      <c r="H41" s="8" t="n"/>
      <c r="I41" s="8" t="n"/>
      <c r="J41" s="9" t="n"/>
      <c r="K41" s="9" t="n"/>
      <c r="L41" s="10" t="n"/>
      <c r="M41" s="8" t="n"/>
      <c r="N41" s="8" t="n"/>
      <c r="O41" s="8" t="n"/>
      <c r="P41" s="8" t="n"/>
      <c r="Q41" s="8" t="n"/>
      <c r="R41" s="8" t="n"/>
      <c r="S41" s="8" t="n"/>
      <c r="T41" s="8" t="n"/>
      <c r="U41" s="11" t="n"/>
      <c r="V41" s="8" t="n"/>
      <c r="W41" s="8" t="n"/>
      <c r="X41" s="12" t="n"/>
      <c r="Y41" s="8" t="n"/>
    </row>
    <row r="42">
      <c r="A42" s="8" t="n"/>
      <c r="B42" s="8" t="n"/>
      <c r="C42" s="8" t="n"/>
      <c r="D42" s="9" t="n"/>
      <c r="E42" s="8" t="n"/>
      <c r="F42" s="8" t="n"/>
      <c r="G42" s="8" t="n"/>
      <c r="H42" s="8" t="n"/>
      <c r="I42" s="8" t="n"/>
      <c r="J42" s="9" t="n"/>
      <c r="K42" s="9" t="n"/>
      <c r="L42" s="10" t="n"/>
      <c r="M42" s="8" t="n"/>
      <c r="N42" s="8" t="n"/>
      <c r="O42" s="8" t="n"/>
      <c r="P42" s="8" t="n"/>
      <c r="Q42" s="8" t="n"/>
      <c r="R42" s="8" t="n"/>
      <c r="S42" s="8" t="n"/>
      <c r="T42" s="8" t="n"/>
      <c r="U42" s="11" t="n"/>
      <c r="V42" s="8" t="n"/>
      <c r="W42" s="8" t="n"/>
      <c r="X42" s="12" t="n"/>
      <c r="Y42" s="8" t="n"/>
    </row>
    <row r="43">
      <c r="A43" s="8" t="n"/>
      <c r="B43" s="8" t="n"/>
      <c r="C43" s="8" t="n"/>
      <c r="D43" s="9" t="n"/>
      <c r="E43" s="8" t="n"/>
      <c r="F43" s="8" t="n"/>
      <c r="G43" s="8" t="n"/>
      <c r="H43" s="8" t="n"/>
      <c r="I43" s="8" t="n"/>
      <c r="J43" s="9" t="n"/>
      <c r="K43" s="9" t="n"/>
      <c r="L43" s="10" t="n"/>
      <c r="M43" s="8" t="n"/>
      <c r="N43" s="8" t="n"/>
      <c r="O43" s="8" t="n"/>
      <c r="P43" s="8" t="n"/>
      <c r="Q43" s="8" t="n"/>
      <c r="R43" s="8" t="n"/>
      <c r="S43" s="8" t="n"/>
      <c r="T43" s="8" t="n"/>
      <c r="U43" s="11" t="n"/>
      <c r="V43" s="8" t="n"/>
      <c r="W43" s="8" t="n"/>
      <c r="X43" s="12" t="n"/>
      <c r="Y43" s="8" t="n"/>
    </row>
    <row r="44">
      <c r="A44" s="8" t="n"/>
      <c r="B44" s="8" t="n"/>
      <c r="C44" s="8" t="n"/>
      <c r="D44" s="9" t="n"/>
      <c r="E44" s="8" t="n"/>
      <c r="F44" s="8" t="n"/>
      <c r="G44" s="8" t="n"/>
      <c r="H44" s="8" t="n"/>
      <c r="I44" s="8" t="n"/>
      <c r="J44" s="9" t="n"/>
      <c r="K44" s="9" t="n"/>
      <c r="L44" s="10" t="n"/>
      <c r="M44" s="8" t="n"/>
      <c r="N44" s="8" t="n"/>
      <c r="O44" s="8" t="n"/>
      <c r="P44" s="8" t="n"/>
      <c r="Q44" s="8" t="n"/>
      <c r="R44" s="8" t="n"/>
      <c r="S44" s="8" t="n"/>
      <c r="T44" s="8" t="n"/>
      <c r="U44" s="11" t="n"/>
      <c r="V44" s="8" t="n"/>
      <c r="W44" s="8" t="n"/>
      <c r="X44" s="12" t="n"/>
      <c r="Y44" s="8" t="n"/>
    </row>
    <row r="45">
      <c r="A45" s="8" t="n"/>
      <c r="B45" s="8" t="n"/>
      <c r="C45" s="8" t="n"/>
      <c r="D45" s="9" t="n"/>
      <c r="E45" s="8" t="n"/>
      <c r="F45" s="8" t="n"/>
      <c r="G45" s="8" t="n"/>
      <c r="H45" s="8" t="n"/>
      <c r="I45" s="8" t="n"/>
      <c r="J45" s="9" t="n"/>
      <c r="K45" s="9" t="n"/>
      <c r="L45" s="10" t="n"/>
      <c r="M45" s="8" t="n"/>
      <c r="N45" s="8" t="n"/>
      <c r="O45" s="8" t="n"/>
      <c r="P45" s="8" t="n"/>
      <c r="Q45" s="8" t="n"/>
      <c r="R45" s="8" t="n"/>
      <c r="S45" s="8" t="n"/>
      <c r="T45" s="8" t="n"/>
      <c r="U45" s="11" t="n"/>
      <c r="V45" s="8" t="n"/>
      <c r="W45" s="8" t="n"/>
      <c r="X45" s="12" t="n"/>
      <c r="Y45" s="8" t="n"/>
    </row>
    <row r="46">
      <c r="A46" s="8" t="n"/>
      <c r="B46" s="8" t="n"/>
      <c r="C46" s="8" t="n"/>
      <c r="D46" s="9" t="n"/>
      <c r="E46" s="8" t="n"/>
      <c r="F46" s="8" t="n"/>
      <c r="G46" s="8" t="n"/>
      <c r="H46" s="8" t="n"/>
      <c r="I46" s="8" t="n"/>
      <c r="J46" s="9" t="n"/>
      <c r="K46" s="9" t="n"/>
      <c r="L46" s="10" t="n"/>
      <c r="M46" s="8" t="n"/>
      <c r="N46" s="8" t="n"/>
      <c r="O46" s="8" t="n"/>
      <c r="P46" s="8" t="n"/>
      <c r="Q46" s="8" t="n"/>
      <c r="R46" s="8" t="n"/>
      <c r="S46" s="8" t="n"/>
      <c r="T46" s="8" t="n"/>
      <c r="U46" s="11" t="n"/>
      <c r="V46" s="8" t="n"/>
      <c r="W46" s="8" t="n"/>
      <c r="X46" s="12" t="n"/>
      <c r="Y46" s="8" t="n"/>
    </row>
    <row r="47">
      <c r="A47" s="8" t="n"/>
      <c r="B47" s="8" t="n"/>
      <c r="C47" s="8" t="n"/>
      <c r="D47" s="9" t="n"/>
      <c r="E47" s="8" t="n"/>
      <c r="F47" s="8" t="n"/>
      <c r="G47" s="8" t="n"/>
      <c r="H47" s="8" t="n"/>
      <c r="I47" s="8" t="n"/>
      <c r="J47" s="9" t="n"/>
      <c r="K47" s="9" t="n"/>
      <c r="L47" s="10" t="n"/>
      <c r="M47" s="8" t="n"/>
      <c r="N47" s="8" t="n"/>
      <c r="O47" s="8" t="n"/>
      <c r="P47" s="8" t="n"/>
      <c r="Q47" s="8" t="n"/>
      <c r="R47" s="8" t="n"/>
      <c r="S47" s="8" t="n"/>
      <c r="T47" s="8" t="n"/>
      <c r="U47" s="11" t="n"/>
      <c r="V47" s="8" t="n"/>
      <c r="W47" s="8" t="n"/>
      <c r="X47" s="12" t="n"/>
      <c r="Y47" s="8" t="n"/>
    </row>
    <row r="48">
      <c r="A48" s="8" t="n"/>
      <c r="B48" s="8" t="n"/>
      <c r="C48" s="8" t="n"/>
      <c r="D48" s="9" t="n"/>
      <c r="E48" s="8" t="n"/>
      <c r="F48" s="8" t="n"/>
      <c r="G48" s="8" t="n"/>
      <c r="H48" s="8" t="n"/>
      <c r="I48" s="8" t="n"/>
      <c r="J48" s="9" t="n"/>
      <c r="K48" s="9" t="n"/>
      <c r="L48" s="10" t="n"/>
      <c r="M48" s="8" t="n"/>
      <c r="N48" s="8" t="n"/>
      <c r="O48" s="8" t="n"/>
      <c r="P48" s="8" t="n"/>
      <c r="Q48" s="8" t="n"/>
      <c r="R48" s="8" t="n"/>
      <c r="S48" s="8" t="n"/>
      <c r="T48" s="8" t="n"/>
      <c r="U48" s="11" t="n"/>
      <c r="V48" s="8" t="n"/>
      <c r="W48" s="8" t="n"/>
      <c r="X48" s="12" t="n"/>
      <c r="Y48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LABELS</t>
        </is>
      </c>
    </row>
    <row r="2">
      <c r="A2" t="inlineStr">
        <is>
          <t>Print one label per bag.</t>
        </is>
      </c>
    </row>
    <row r="3">
      <c r="A3" t="inlineStr">
        <is>
          <t>Rows marked DO NOT PRINT LABEL ship without a label.</t>
        </is>
      </c>
    </row>
    <row r="5" ht="32" customHeight="1">
      <c r="A5" s="2" t="inlineStr">
        <is>
          <t>PRIORITY</t>
        </is>
      </c>
      <c r="B5" s="2" t="inlineStr">
        <is>
          <t>ITEM SKU</t>
        </is>
      </c>
      <c r="C5" s="2" t="inlineStr">
        <is>
          <t>1. Pack Size</t>
        </is>
      </c>
      <c r="D5" s="2" t="inlineStr">
        <is>
          <t>Packs Required</t>
        </is>
      </c>
      <c r="E5" s="2" t="inlineStr">
        <is>
          <t>Total</t>
        </is>
      </c>
      <c r="F5" s="2" t="inlineStr">
        <is>
          <t xml:space="preserve">2. SKU </t>
        </is>
      </c>
      <c r="G5" s="2" t="inlineStr">
        <is>
          <t>3. Barcode</t>
        </is>
      </c>
      <c r="H5" s="2" t="inlineStr">
        <is>
          <t>Description</t>
        </is>
      </c>
    </row>
    <row r="6">
      <c r="A6" s="3">
        <f>XLOOKUP(B6,[2]Main_Report!$A:$A,[2]Main_Report!$AA:$AA)</f>
        <v/>
      </c>
      <c r="B6" s="3" t="n"/>
      <c r="C6" s="3" t="n"/>
      <c r="D6" s="4">
        <f>XLOOKUP(F6,'Box Information'!B:B,'Box Information'!K:K)</f>
        <v/>
      </c>
      <c r="E6" s="3" t="n"/>
      <c r="F6" s="3" t="inlineStr">
        <is>
          <t>MS-OLD00</t>
        </is>
      </c>
      <c r="G6" s="3" t="n"/>
      <c r="H6" s="3" t="n"/>
    </row>
    <row r="7">
      <c r="A7" s="8">
        <f>XLOOKUP(B7,[2]Main_Report!$A:$A,[2]Main_Report!$AA:$AA)</f>
        <v/>
      </c>
      <c r="B7" s="8" t="n"/>
      <c r="C7" s="8" t="n"/>
      <c r="D7" s="9">
        <f>XLOOKUP(F7,'Box Information'!B:B,'Box Information'!K:K)</f>
        <v/>
      </c>
      <c r="E7" s="8" t="n"/>
      <c r="F7" s="8" t="inlineStr">
        <is>
          <t>MS-OLD01</t>
        </is>
      </c>
      <c r="G7" s="8" t="n"/>
      <c r="H7" s="8" t="n"/>
    </row>
    <row r="8">
      <c r="A8" s="8">
        <f>XLOOKUP(B8,[2]Main_Report!$A:$A,[2]Main_Report!$AA:$AA)</f>
        <v/>
      </c>
      <c r="B8" s="8" t="n"/>
      <c r="C8" s="8" t="n"/>
      <c r="D8" s="9">
        <f>XLOOKUP(F8,'Box Information'!B:B,'Box Information'!K:K)</f>
        <v/>
      </c>
      <c r="E8" s="8" t="n"/>
      <c r="F8" s="8" t="inlineStr">
        <is>
          <t>MS-OLD02</t>
        </is>
      </c>
      <c r="G8" s="8" t="n"/>
      <c r="H8" s="8" t="n"/>
    </row>
    <row r="9">
      <c r="A9" s="8">
        <f>XLOOKUP(B9,[2]Main_Report!$A:$A,[2]Main_Report!$AA:$AA)</f>
        <v/>
      </c>
      <c r="B9" s="8" t="n"/>
      <c r="C9" s="8" t="n"/>
      <c r="D9" s="9">
        <f>XLOOKUP(F9,'Box Information'!B:B,'Box Information'!K:K)</f>
        <v/>
      </c>
      <c r="E9" s="8" t="n"/>
      <c r="F9" s="8" t="inlineStr">
        <is>
          <t>MS-OLD03</t>
        </is>
      </c>
      <c r="G9" s="8" t="n"/>
      <c r="H9" s="8" t="n"/>
    </row>
    <row r="10">
      <c r="A10" s="8">
        <f>XLOOKUP(B10,[2]Main_Report!$A:$A,[2]Main_Report!$AA:$AA)</f>
        <v/>
      </c>
      <c r="B10" s="8" t="n"/>
      <c r="C10" s="8" t="n"/>
      <c r="D10" s="9">
        <f>XLOOKUP(F10,'Box Information'!B:B,'Box Information'!K:K)</f>
        <v/>
      </c>
      <c r="E10" s="8" t="n"/>
      <c r="F10" s="8" t="inlineStr">
        <is>
          <t>MS-OLD04</t>
        </is>
      </c>
      <c r="G10" s="8" t="n"/>
      <c r="H10" s="8" t="n"/>
    </row>
    <row r="11">
      <c r="A11" s="8">
        <f>XLOOKUP(B11,[2]Main_Report!$A:$A,[2]Main_Report!$AA:$AA)</f>
        <v/>
      </c>
      <c r="B11" s="8" t="n"/>
      <c r="C11" s="8" t="n"/>
      <c r="D11" s="9">
        <f>XLOOKUP(F11,'Box Information'!B:B,'Box Information'!K:K)</f>
        <v/>
      </c>
      <c r="E11" s="8" t="n"/>
      <c r="F11" s="8" t="inlineStr">
        <is>
          <t>MS-OLD05</t>
        </is>
      </c>
      <c r="G11" s="8" t="n"/>
      <c r="H11" s="8" t="n"/>
    </row>
    <row r="12">
      <c r="A12" s="8">
        <f>XLOOKUP(B12,[2]Main_Report!$A:$A,[2]Main_Report!$AA:$AA)</f>
        <v/>
      </c>
      <c r="B12" s="8" t="n"/>
      <c r="C12" s="8" t="n"/>
      <c r="D12" s="9">
        <f>XLOOKUP(F12,'Box Information'!B:B,'Box Information'!K:K)</f>
        <v/>
      </c>
      <c r="E12" s="8" t="n"/>
      <c r="F12" s="8" t="inlineStr">
        <is>
          <t>MS-OLD06</t>
        </is>
      </c>
      <c r="G12" s="8" t="n"/>
      <c r="H12" s="8" t="n"/>
    </row>
    <row r="13">
      <c r="A13" s="8">
        <f>XLOOKUP(B13,[2]Main_Report!$A:$A,[2]Main_Report!$AA:$AA)</f>
        <v/>
      </c>
      <c r="B13" s="8" t="n"/>
      <c r="C13" s="8" t="n"/>
      <c r="D13" s="9">
        <f>XLOOKUP(F13,'Box Information'!B:B,'Box Information'!K:K)</f>
        <v/>
      </c>
      <c r="E13" s="8" t="n"/>
      <c r="F13" s="8" t="inlineStr">
        <is>
          <t>MS-OLD07</t>
        </is>
      </c>
      <c r="G13" s="8" t="n"/>
      <c r="H13" s="8" t="n"/>
    </row>
    <row r="14">
      <c r="A14" s="8">
        <f>XLOOKUP(B14,[2]Main_Report!$A:$A,[2]Main_Report!$AA:$AA)</f>
        <v/>
      </c>
      <c r="B14" s="8" t="n"/>
      <c r="C14" s="8" t="n"/>
      <c r="D14" s="9">
        <f>XLOOKUP(F14,'Box Information'!B:B,'Box Information'!K:K)</f>
        <v/>
      </c>
      <c r="E14" s="8" t="n"/>
      <c r="F14" s="8" t="inlineStr">
        <is>
          <t>MS-OLD08</t>
        </is>
      </c>
      <c r="G14" s="8" t="n"/>
      <c r="H14" s="8" t="n"/>
    </row>
    <row r="15">
      <c r="A15" s="8">
        <f>XLOOKUP(B15,[2]Main_Report!$A:$A,[2]Main_Report!$AA:$AA)</f>
        <v/>
      </c>
      <c r="B15" s="8" t="n"/>
      <c r="C15" s="8" t="n"/>
      <c r="D15" s="9">
        <f>XLOOKUP(F15,'Box Information'!B:B,'Box Information'!K:K)</f>
        <v/>
      </c>
      <c r="E15" s="8" t="n"/>
      <c r="F15" s="8" t="inlineStr">
        <is>
          <t>MS-OLD09</t>
        </is>
      </c>
      <c r="G15" s="8" t="n"/>
      <c r="H15" s="8" t="n"/>
    </row>
    <row r="16">
      <c r="A16" s="8">
        <f>XLOOKUP(B16,[2]Main_Report!$A:$A,[2]Main_Report!$AA:$AA)</f>
        <v/>
      </c>
      <c r="B16" s="8" t="n"/>
      <c r="C16" s="8" t="n"/>
      <c r="D16" s="9">
        <f>XLOOKUP(F16,'Box Information'!B:B,'Box Information'!K:K)</f>
        <v/>
      </c>
      <c r="E16" s="8" t="n"/>
      <c r="F16" s="8" t="inlineStr">
        <is>
          <t>MS-OLD10</t>
        </is>
      </c>
      <c r="G16" s="8" t="n"/>
      <c r="H16" s="8" t="n"/>
    </row>
    <row r="17">
      <c r="A17" s="8">
        <f>XLOOKUP(B17,[2]Main_Report!$A:$A,[2]Main_Report!$AA:$AA)</f>
        <v/>
      </c>
      <c r="B17" s="8" t="n"/>
      <c r="C17" s="8" t="n"/>
      <c r="D17" s="9">
        <f>XLOOKUP(F17,'Box Information'!B:B,'Box Information'!K:K)</f>
        <v/>
      </c>
      <c r="E17" s="8" t="n"/>
      <c r="F17" s="8" t="inlineStr">
        <is>
          <t>MS-OLD11</t>
        </is>
      </c>
      <c r="G17" s="8" t="n"/>
      <c r="H17" s="8" t="n"/>
    </row>
    <row r="18">
      <c r="A18" s="8" t="n"/>
      <c r="B18" s="8" t="n"/>
      <c r="C18" s="8" t="n"/>
      <c r="D18" s="9" t="n"/>
      <c r="E18" s="8" t="n"/>
      <c r="F18" s="8" t="n"/>
      <c r="G18" s="8" t="n"/>
      <c r="H18" s="8" t="n"/>
    </row>
    <row r="19">
      <c r="A19" s="8" t="n"/>
      <c r="B19" s="8" t="n"/>
      <c r="C19" s="8" t="n"/>
      <c r="D19" s="9" t="n"/>
      <c r="E19" s="8" t="n"/>
      <c r="F19" s="8" t="n"/>
      <c r="G19" s="8" t="n"/>
      <c r="H19" s="8" t="n"/>
    </row>
    <row r="20">
      <c r="A20" s="8" t="n"/>
      <c r="B20" s="8" t="n"/>
      <c r="C20" s="8" t="n"/>
      <c r="D20" s="9" t="n"/>
      <c r="E20" s="8" t="n"/>
      <c r="F20" s="8" t="n"/>
      <c r="G20" s="8" t="n"/>
      <c r="H20" s="8" t="n"/>
    </row>
    <row r="21">
      <c r="A21" s="8" t="n"/>
      <c r="B21" s="8" t="n"/>
      <c r="C21" s="8" t="n"/>
      <c r="D21" s="9" t="n"/>
      <c r="E21" s="8" t="n"/>
      <c r="F21" s="8" t="n"/>
      <c r="G21" s="8" t="n"/>
      <c r="H21" s="8" t="n"/>
    </row>
    <row r="22">
      <c r="A22" s="8" t="n"/>
      <c r="B22" s="8" t="n"/>
      <c r="C22" s="8" t="n"/>
      <c r="D22" s="9" t="n"/>
      <c r="E22" s="8" t="n"/>
      <c r="F22" s="8" t="n"/>
      <c r="G22" s="8" t="n"/>
      <c r="H22" s="8" t="n"/>
    </row>
    <row r="23">
      <c r="A23" s="8" t="n"/>
      <c r="B23" s="8" t="n"/>
      <c r="C23" s="8" t="n"/>
      <c r="D23" s="9" t="n"/>
      <c r="E23" s="8" t="n"/>
      <c r="F23" s="8" t="n"/>
      <c r="G23" s="8" t="n"/>
      <c r="H23" s="8" t="n"/>
    </row>
    <row r="24">
      <c r="A24" s="8" t="n"/>
      <c r="B24" s="8" t="n"/>
      <c r="C24" s="8" t="n"/>
      <c r="D24" s="9" t="n"/>
      <c r="E24" s="8" t="n"/>
      <c r="F24" s="8" t="n"/>
      <c r="G24" s="8" t="n"/>
      <c r="H24" s="8" t="n"/>
    </row>
    <row r="25">
      <c r="A25" s="8" t="n"/>
      <c r="B25" s="8" t="n"/>
      <c r="C25" s="8" t="n"/>
      <c r="D25" s="9" t="n"/>
      <c r="E25" s="8" t="n"/>
      <c r="F25" s="8" t="n"/>
      <c r="G25" s="8" t="n"/>
      <c r="H25" s="8" t="n"/>
    </row>
    <row r="26">
      <c r="A26" s="8" t="n"/>
      <c r="B26" s="8" t="n"/>
      <c r="C26" s="8" t="n"/>
      <c r="D26" s="9" t="n"/>
      <c r="E26" s="8" t="n"/>
      <c r="F26" s="8" t="n"/>
      <c r="G26" s="8" t="n"/>
      <c r="H26" s="8" t="n"/>
    </row>
    <row r="27">
      <c r="A27" s="8" t="n"/>
      <c r="B27" s="8" t="n"/>
      <c r="C27" s="8" t="n"/>
      <c r="D27" s="9" t="n"/>
      <c r="E27" s="8" t="n"/>
      <c r="F27" s="8" t="n"/>
      <c r="G27" s="8" t="n"/>
      <c r="H27" s="8" t="n"/>
    </row>
    <row r="28">
      <c r="A28" s="8" t="n"/>
      <c r="B28" s="8" t="n"/>
      <c r="C28" s="8" t="n"/>
      <c r="D28" s="9" t="n"/>
      <c r="E28" s="8" t="n"/>
      <c r="F28" s="8" t="n"/>
      <c r="G28" s="8" t="n"/>
      <c r="H28" s="8" t="n"/>
    </row>
    <row r="29">
      <c r="A29" s="8" t="n"/>
      <c r="B29" s="8" t="n"/>
      <c r="C29" s="8" t="n"/>
      <c r="D29" s="9" t="n"/>
      <c r="E29" s="8" t="n"/>
      <c r="F29" s="8" t="n"/>
      <c r="G29" s="8" t="n"/>
      <c r="H29" s="8" t="n"/>
    </row>
    <row r="30">
      <c r="A30" s="8" t="n"/>
      <c r="B30" s="8" t="n"/>
      <c r="C30" s="8" t="n"/>
      <c r="D30" s="9" t="n"/>
      <c r="E30" s="8" t="n"/>
      <c r="F30" s="8" t="n"/>
      <c r="G30" s="8" t="n"/>
      <c r="H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8" t="n"/>
    </row>
    <row r="41">
      <c r="A41" s="8" t="n"/>
      <c r="B41" s="8" t="n"/>
      <c r="C41" s="8" t="n"/>
      <c r="D41" s="9" t="n"/>
      <c r="E41" s="8" t="n"/>
      <c r="F41" s="8" t="n"/>
      <c r="G41" s="8" t="n"/>
      <c r="H41" s="8" t="n"/>
    </row>
    <row r="42">
      <c r="A42" s="8" t="n"/>
      <c r="B42" s="8" t="n"/>
      <c r="C42" s="8" t="n"/>
      <c r="D42" s="9" t="n"/>
      <c r="E42" s="8" t="n"/>
      <c r="F42" s="8" t="n"/>
      <c r="G42" s="8" t="n"/>
      <c r="H42" s="8" t="n"/>
    </row>
    <row r="43">
      <c r="A43" s="8" t="n"/>
      <c r="B43" s="8" t="n"/>
      <c r="C43" s="8" t="n"/>
      <c r="D43" s="9" t="n"/>
      <c r="E43" s="8" t="n"/>
      <c r="F43" s="8" t="n"/>
      <c r="G43" s="8" t="n"/>
      <c r="H43" s="8" t="n"/>
    </row>
    <row r="44">
      <c r="A44" s="8" t="n"/>
      <c r="B44" s="8" t="n"/>
      <c r="C44" s="8" t="n"/>
      <c r="D44" s="9" t="n"/>
      <c r="E44" s="8" t="n"/>
      <c r="F44" s="8" t="n"/>
      <c r="G44" s="8" t="n"/>
      <c r="H44" s="8" t="n"/>
    </row>
    <row r="45">
      <c r="A45" s="8" t="n"/>
      <c r="B45" s="8" t="n"/>
      <c r="C45" s="8" t="n"/>
      <c r="D45" s="9" t="n"/>
      <c r="E45" s="8" t="n"/>
      <c r="F45" s="8" t="n"/>
      <c r="G45" s="8" t="n"/>
      <c r="H45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 &amp; INVOICE INFO</t>
        </is>
      </c>
    </row>
    <row r="2">
      <c r="A2" t="inlineStr">
        <is>
          <t>Shipper: (vendor)</t>
        </is>
      </c>
    </row>
    <row r="3">
      <c r="A3" t="inlineStr">
        <is>
          <t>Consignee: (importer of record)</t>
        </is>
      </c>
    </row>
    <row r="4">
      <c r="A4" t="inlineStr">
        <is>
          <t>Use one invoice line per ITEM SKU.</t>
        </is>
      </c>
    </row>
    <row r="6">
      <c r="A6" s="13" t="inlineStr">
        <is>
          <t>ITEM SKU</t>
        </is>
      </c>
      <c r="B6" s="13" t="inlineStr">
        <is>
          <t>TOTAL</t>
        </is>
      </c>
    </row>
    <row r="7">
      <c r="A7" t="inlineStr">
        <is>
          <t>PC-8800</t>
        </is>
      </c>
      <c r="B7" t="n">
        <v>120</v>
      </c>
    </row>
    <row r="8">
      <c r="A8" t="inlineStr">
        <is>
          <t>PC-8801</t>
        </is>
      </c>
      <c r="B8" t="n">
        <v>240</v>
      </c>
    </row>
    <row r="9">
      <c r="A9" t="inlineStr">
        <is>
          <t>PC-8802</t>
        </is>
      </c>
      <c r="B9" t="n">
        <v>360</v>
      </c>
    </row>
    <row r="10">
      <c r="A10" t="inlineStr">
        <is>
          <t>PC-8803</t>
        </is>
      </c>
      <c r="B10" t="n">
        <v>480</v>
      </c>
    </row>
    <row r="11">
      <c r="A11" t="inlineStr">
        <is>
          <t>PC-8804</t>
        </is>
      </c>
      <c r="B11" t="n">
        <v>600</v>
      </c>
    </row>
    <row r="12">
      <c r="A12" t="inlineStr">
        <is>
          <t>PC-8805</t>
        </is>
      </c>
      <c r="B12" t="n">
        <v>720</v>
      </c>
    </row>
    <row r="13">
      <c r="A13" t="inlineStr">
        <is>
          <t>PC-8806</t>
        </is>
      </c>
      <c r="B13" t="n">
        <v>840</v>
      </c>
    </row>
    <row r="14">
      <c r="A14" t="inlineStr">
        <is>
          <t>PC-8807</t>
        </is>
      </c>
      <c r="B14" t="n">
        <v>960</v>
      </c>
    </row>
    <row r="15">
      <c r="A15" t="inlineStr">
        <is>
          <t>PC-8808</t>
        </is>
      </c>
      <c r="B15" t="n">
        <v>1080</v>
      </c>
    </row>
    <row r="16">
      <c r="A16" t="inlineStr">
        <is>
          <t>PC-8809</t>
        </is>
      </c>
      <c r="B16" t="n">
        <v>1200</v>
      </c>
    </row>
    <row r="17">
      <c r="A17" t="inlineStr">
        <is>
          <t>PC-8810</t>
        </is>
      </c>
      <c r="B17" t="n">
        <v>1320</v>
      </c>
    </row>
    <row r="18">
      <c r="A18" t="inlineStr">
        <is>
          <t>PC-8811</t>
        </is>
      </c>
      <c r="B18" t="n">
        <v>1440</v>
      </c>
    </row>
    <row r="19">
      <c r="A19" t="inlineStr">
        <is>
          <t>PC-8812</t>
        </is>
      </c>
      <c r="B19" t="n">
        <v>1560</v>
      </c>
    </row>
    <row r="20">
      <c r="A20" t="inlineStr">
        <is>
          <t>PC-8813</t>
        </is>
      </c>
      <c r="B20" t="n">
        <v>1680</v>
      </c>
    </row>
    <row r="21">
      <c r="A21" t="inlineStr">
        <is>
          <t>TOTAL</t>
        </is>
      </c>
      <c r="B21">
        <f>SUM(B7:B20)</f>
        <v/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 LABEL SAMPLE - your label must look like this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LABEL SAMPLE - your label must look like this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BEFORE SENDING (delete this tab before sending)</t>
        </is>
      </c>
    </row>
    <row r="2">
      <c r="A2" t="inlineStr">
        <is>
          <t>[ ] Priority filled in, no zeros</t>
        </is>
      </c>
    </row>
    <row r="3">
      <c r="A3" t="inlineStr">
        <is>
          <t>[ ] No formulas pointing to other files</t>
        </is>
      </c>
    </row>
    <row r="4">
      <c r="A4" t="inlineStr">
        <is>
          <t>[ ] Rows without barcode say DO NOT PRINT LABEL</t>
        </is>
      </c>
    </row>
    <row r="5">
      <c r="A5" t="inlineStr">
        <is>
          <t>[ ] PO # on every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